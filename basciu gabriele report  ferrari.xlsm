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DD97A8EA-9A9A-E61F-A557-7D5A7D7259CE}"/>
  <workbookPr codeName="Questa_cartella_di_lavoro" defaultThemeVersion="202300"/>
  <mc:AlternateContent xmlns:mc="http://schemas.openxmlformats.org/markup-compatibility/2006">
    <mc:Choice Requires="x15">
      <x15ac:absPath xmlns:x15ac="http://schemas.microsoft.com/office/spreadsheetml/2010/11/ac" url="C:\Users\gabri\Desktop\UNIPD\Stochastic methods for finance\report2\"/>
    </mc:Choice>
  </mc:AlternateContent>
  <xr:revisionPtr revIDLastSave="0" documentId="13_ncr:1_{D070CD92-4E0D-49B4-9C3D-8F3AE517E482}" xr6:coauthVersionLast="47" xr6:coauthVersionMax="47" xr10:uidLastSave="{00000000-0000-0000-0000-000000000000}"/>
  <bookViews>
    <workbookView xWindow="-108" yWindow="-108" windowWidth="23256" windowHeight="12456" activeTab="1" xr2:uid="{4C187812-C048-4A34-888C-1D47808295E6}"/>
  </bookViews>
  <sheets>
    <sheet name="Foglio1" sheetId="1" r:id="rId1"/>
    <sheet name="Foglio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5" i="1" l="1"/>
  <c r="G95" i="1"/>
  <c r="E22" i="2"/>
  <c r="Q85" i="1"/>
  <c r="Q65" i="1"/>
  <c r="N65" i="1"/>
  <c r="G65" i="1"/>
  <c r="D65" i="1"/>
  <c r="K20" i="2"/>
  <c r="K15" i="2"/>
  <c r="K10" i="2"/>
  <c r="K5" i="2"/>
  <c r="H20" i="2"/>
  <c r="H15" i="2"/>
  <c r="H10" i="2"/>
  <c r="H5" i="2"/>
  <c r="E20" i="2"/>
  <c r="E15" i="2"/>
  <c r="E10" i="2"/>
  <c r="E5" i="2"/>
  <c r="B20" i="2"/>
  <c r="B15" i="2"/>
  <c r="B10" i="2"/>
  <c r="B5" i="2"/>
  <c r="N85" i="1"/>
  <c r="G85" i="1"/>
  <c r="D85" i="1"/>
  <c r="Q73" i="1"/>
  <c r="N73" i="1"/>
  <c r="G73" i="1"/>
  <c r="D73" i="1"/>
  <c r="K42" i="1"/>
  <c r="H42" i="1"/>
  <c r="Q8" i="1"/>
  <c r="N8" i="1"/>
  <c r="K8" i="1"/>
  <c r="H8" i="1"/>
  <c r="B22" i="2" l="1"/>
  <c r="H22" i="2"/>
  <c r="K22" i="2"/>
  <c r="O13" i="1"/>
  <c r="K17" i="1" l="1"/>
  <c r="G91" i="1"/>
  <c r="G93" i="1" s="1"/>
  <c r="D91" i="1"/>
  <c r="D93" i="1" s="1"/>
  <c r="Q91" i="1"/>
  <c r="Q93" i="1" s="1"/>
  <c r="Q95" i="1" s="1"/>
  <c r="N91" i="1"/>
  <c r="N93" i="1" s="1"/>
  <c r="S42" i="1"/>
  <c r="N95" i="1" l="1"/>
  <c r="D95" i="1"/>
  <c r="K18" i="1"/>
  <c r="L4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6DD0AB-3D28-43E4-AA34-F3BE27F53EEA}" keepAlive="1" name="Query - Nike Stock Price History" description="Connessione alla query 'Nike Stock Price History' nella cartella di lavoro." type="5" refreshedVersion="0" background="1">
    <dbPr connection="Provider=Microsoft.Mashup.OleDb.1;Data Source=$Workbook$;Location=&quot;Nike Stock Price History&quot;;Extended Properties=&quot;&quot;" command="SELECT * FROM [Nike Stock Price History]"/>
  </connection>
  <connection id="2" xr16:uid="{99133D47-7729-4AB9-A521-B081DEDD9C96}" keepAlive="1" name="Query - Nike Stock Price History (1)" description="Connessione alla query 'Nike Stock Price History (1)' nella cartella di lavoro." type="5" refreshedVersion="0" background="1">
    <dbPr connection="Provider=Microsoft.Mashup.OleDb.1;Data Source=$Workbook$;Location=&quot;Nike Stock Price History (1)&quot;;Extended Properties=&quot;&quot;" command="SELECT * FROM [Nike Stock Price History (1)]"/>
  </connection>
</connections>
</file>

<file path=xl/sharedStrings.xml><?xml version="1.0" encoding="utf-8"?>
<sst xmlns="http://schemas.openxmlformats.org/spreadsheetml/2006/main" count="179" uniqueCount="88">
  <si>
    <t>T=1 mesi</t>
  </si>
  <si>
    <t>T=3 mesi</t>
  </si>
  <si>
    <t>T=6 mesi</t>
  </si>
  <si>
    <t>Call option</t>
  </si>
  <si>
    <t>Put option</t>
  </si>
  <si>
    <t>04/24/2026</t>
  </si>
  <si>
    <t>Expiration date</t>
  </si>
  <si>
    <t>Strike</t>
  </si>
  <si>
    <t>06/18/2026</t>
  </si>
  <si>
    <t>06/18/1016</t>
  </si>
  <si>
    <t>09/18/2026</t>
  </si>
  <si>
    <t>Maturity</t>
  </si>
  <si>
    <t>T=2 mesi</t>
  </si>
  <si>
    <t>Strike (K1)</t>
  </si>
  <si>
    <t>Strike (K2)</t>
  </si>
  <si>
    <t>05/15/2026</t>
  </si>
  <si>
    <t>Call option (K1)</t>
  </si>
  <si>
    <t>Call option (K2)</t>
  </si>
  <si>
    <t>Put option (K1)</t>
  </si>
  <si>
    <t>Put option  (K2)</t>
  </si>
  <si>
    <t>Ask</t>
  </si>
  <si>
    <t>Put</t>
  </si>
  <si>
    <t>Bid</t>
  </si>
  <si>
    <t>Mid Price of the Call (K1)</t>
  </si>
  <si>
    <t>Mid Price of the Put (K1)</t>
  </si>
  <si>
    <t>Mid Price of the Call (K2)</t>
  </si>
  <si>
    <t>Mid Price of the Put (K2)</t>
  </si>
  <si>
    <t>Call option (ATM)</t>
  </si>
  <si>
    <t>Put option (ATM)</t>
  </si>
  <si>
    <t>Points 2), 3)</t>
  </si>
  <si>
    <t>Point 4)</t>
  </si>
  <si>
    <t>Mid price of the Call</t>
  </si>
  <si>
    <t>F0(T)</t>
  </si>
  <si>
    <r>
      <t xml:space="preserve">From them we can compute the </t>
    </r>
    <r>
      <rPr>
        <b/>
        <sz val="12"/>
        <color theme="1"/>
        <rFont val="Aptos Narrow"/>
        <family val="2"/>
        <scheme val="minor"/>
      </rPr>
      <t>Forward</t>
    </r>
    <r>
      <rPr>
        <sz val="12"/>
        <color theme="1"/>
        <rFont val="Aptos Narrow"/>
        <family val="2"/>
        <scheme val="minor"/>
      </rPr>
      <t xml:space="preserve"> price at T:</t>
    </r>
  </si>
  <si>
    <r>
      <t xml:space="preserve">We compute now the </t>
    </r>
    <r>
      <rPr>
        <b/>
        <sz val="12"/>
        <color theme="1"/>
        <rFont val="Aptos Narrow"/>
        <family val="2"/>
        <scheme val="minor"/>
      </rPr>
      <t>Dividend</t>
    </r>
    <r>
      <rPr>
        <sz val="12"/>
        <color theme="1"/>
        <rFont val="Aptos Narrow"/>
        <family val="2"/>
        <scheme val="minor"/>
      </rPr>
      <t xml:space="preserve"> </t>
    </r>
    <r>
      <rPr>
        <b/>
        <sz val="12"/>
        <color theme="1"/>
        <rFont val="Aptos Narrow"/>
        <family val="2"/>
        <scheme val="minor"/>
      </rPr>
      <t>rate</t>
    </r>
    <r>
      <rPr>
        <sz val="12"/>
        <color theme="1"/>
        <rFont val="Aptos Narrow"/>
        <family val="2"/>
        <scheme val="minor"/>
      </rPr>
      <t xml:space="preserve"> </t>
    </r>
  </si>
  <si>
    <t>div</t>
  </si>
  <si>
    <t>Underlying price today</t>
  </si>
  <si>
    <t>D0(T)</t>
  </si>
  <si>
    <r>
      <rPr>
        <sz val="12"/>
        <color theme="1"/>
        <rFont val="Aptos Narrow"/>
        <family val="2"/>
        <scheme val="minor"/>
      </rPr>
      <t xml:space="preserve">Now using the Put-Call parity the </t>
    </r>
    <r>
      <rPr>
        <b/>
        <sz val="12"/>
        <color theme="1"/>
        <rFont val="Aptos Narrow"/>
        <family val="2"/>
        <scheme val="minor"/>
      </rPr>
      <t>Discount</t>
    </r>
    <r>
      <rPr>
        <sz val="12"/>
        <color theme="1"/>
        <rFont val="Aptos Narrow"/>
        <family val="2"/>
        <scheme val="minor"/>
      </rPr>
      <t xml:space="preserve"> </t>
    </r>
    <r>
      <rPr>
        <b/>
        <sz val="12"/>
        <color theme="1"/>
        <rFont val="Aptos Narrow"/>
        <family val="2"/>
        <scheme val="minor"/>
      </rPr>
      <t>Factor</t>
    </r>
    <r>
      <rPr>
        <sz val="12"/>
        <color theme="1"/>
        <rFont val="Aptos Narrow"/>
        <family val="2"/>
        <scheme val="minor"/>
      </rPr>
      <t xml:space="preserve"> will be:</t>
    </r>
  </si>
  <si>
    <t xml:space="preserve">Interest rate </t>
  </si>
  <si>
    <t>r</t>
  </si>
  <si>
    <t>point 5)</t>
  </si>
  <si>
    <t>q</t>
  </si>
  <si>
    <t>Ask (of the Call)</t>
  </si>
  <si>
    <t>Bid (of the Call)</t>
  </si>
  <si>
    <t>Ask (of the Put)</t>
  </si>
  <si>
    <t>Bid (of the Put)</t>
  </si>
  <si>
    <t>Mid price (of the Call)</t>
  </si>
  <si>
    <t>Mid price (of the Put)</t>
  </si>
  <si>
    <t>Mid price of the Put</t>
  </si>
  <si>
    <t>r at T</t>
  </si>
  <si>
    <t>strike</t>
  </si>
  <si>
    <t>call 24/04/2026</t>
  </si>
  <si>
    <t>ask</t>
  </si>
  <si>
    <t>bid</t>
  </si>
  <si>
    <t>mid price</t>
  </si>
  <si>
    <t>put 24/04/2026</t>
  </si>
  <si>
    <t xml:space="preserve">strike </t>
  </si>
  <si>
    <t>call 18/06/2026</t>
  </si>
  <si>
    <t>put18/06/2026</t>
  </si>
  <si>
    <t>call 18/09/2026</t>
  </si>
  <si>
    <t>put 18/09/2026</t>
  </si>
  <si>
    <t>call 19/03/2027</t>
  </si>
  <si>
    <t>put 19/03/2026</t>
  </si>
  <si>
    <t>D0(1/12)</t>
  </si>
  <si>
    <t>D0(3/12)</t>
  </si>
  <si>
    <t>D0(6/12)</t>
  </si>
  <si>
    <t>D0(12/12)</t>
  </si>
  <si>
    <t>Ferrari NV</t>
  </si>
  <si>
    <t>RACE|20260515|360.00C</t>
  </si>
  <si>
    <t>RACE|20260515|360.00P</t>
  </si>
  <si>
    <t>RACE|20260515|300.00C</t>
  </si>
  <si>
    <t>RACE|20260515|300.00P</t>
  </si>
  <si>
    <t>RACE|20260515|330.00C</t>
  </si>
  <si>
    <t>RACE|20260515|330.00P</t>
  </si>
  <si>
    <t>RACE|20260424|330.00C</t>
  </si>
  <si>
    <t>RACE|20260424|330.00P</t>
  </si>
  <si>
    <t>RACE|20260618|330.00C</t>
  </si>
  <si>
    <t>RACE|20260618|330.00P</t>
  </si>
  <si>
    <t>RACE|20260918|330.00C</t>
  </si>
  <si>
    <t>RACE|20260918|330.00P</t>
  </si>
  <si>
    <t>RACE|20261218|330.00C</t>
  </si>
  <si>
    <t>RACE|20261218|330.00P</t>
  </si>
  <si>
    <t>12/18/2026</t>
  </si>
  <si>
    <t>T=9 mesi</t>
  </si>
  <si>
    <r>
      <t xml:space="preserve">obtaining the following </t>
    </r>
    <r>
      <rPr>
        <b/>
        <sz val="12"/>
        <color theme="1"/>
        <rFont val="Aptos Narrow"/>
        <family val="2"/>
        <scheme val="minor"/>
      </rPr>
      <t>proportional</t>
    </r>
    <r>
      <rPr>
        <sz val="12"/>
        <color theme="1"/>
        <rFont val="Aptos Narrow"/>
        <family val="2"/>
        <scheme val="minor"/>
      </rPr>
      <t xml:space="preserve"> </t>
    </r>
    <r>
      <rPr>
        <b/>
        <sz val="12"/>
        <color theme="1"/>
        <rFont val="Aptos Narrow"/>
        <family val="2"/>
        <scheme val="minor"/>
      </rPr>
      <t>dividend</t>
    </r>
  </si>
  <si>
    <t>Gabriele Basciu</t>
  </si>
  <si>
    <t>put 18/06/2026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</si>
</sst>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0000"/>
    <numFmt numFmtId="166" formatCode="0.0000000"/>
    <numFmt numFmtId="167" formatCode="0.00000%"/>
    <numFmt numFmtId="168" formatCode="0.000000"/>
    <numFmt numFmtId="169" formatCode="0.0000000%"/>
  </numFmts>
  <fonts count="9" x14ac:knownFonts="1">
    <font>
      <sz val="11"/>
      <color theme="1"/>
      <name val="Aptos Narrow"/>
      <family val="2"/>
      <scheme val="minor"/>
    </font>
    <font>
      <b/>
      <sz val="14"/>
      <color theme="1"/>
      <name val="Aptos Narrow"/>
      <family val="2"/>
      <scheme val="minor"/>
    </font>
    <font>
      <sz val="11"/>
      <color theme="1"/>
      <name val="Aptos Narrow"/>
      <family val="2"/>
      <scheme val="minor"/>
    </font>
    <font>
      <sz val="12"/>
      <color theme="1"/>
      <name val="Aptos Narrow"/>
      <family val="2"/>
      <scheme val="minor"/>
    </font>
    <font>
      <b/>
      <sz val="12"/>
      <color theme="1"/>
      <name val="Aptos Narrow"/>
      <family val="2"/>
      <scheme val="minor"/>
    </font>
    <font>
      <sz val="8"/>
      <name val="Aptos Narrow"/>
      <family val="2"/>
      <scheme val="minor"/>
    </font>
    <font>
      <b/>
      <sz val="18"/>
      <color theme="1"/>
      <name val="Aptos Narrow"/>
      <family val="2"/>
      <scheme val="minor"/>
    </font>
    <font>
      <b/>
      <sz val="13"/>
      <color theme="1"/>
      <name val="Aptos Narrow"/>
      <family val="2"/>
      <scheme val="minor"/>
    </font>
    <font>
      <i/>
      <sz val="11"/>
      <color theme="1"/>
      <name val="Aptos Narrow"/>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25">
    <xf numFmtId="0" fontId="0" fillId="0" borderId="0" xfId="0"/>
    <xf numFmtId="0" fontId="1" fillId="0" borderId="0" xfId="0" applyFont="1"/>
    <xf numFmtId="0" fontId="3" fillId="0" borderId="0" xfId="0" applyFont="1"/>
    <xf numFmtId="0" fontId="4" fillId="0" borderId="0" xfId="0" applyFont="1"/>
    <xf numFmtId="0" fontId="4" fillId="0" borderId="0" xfId="0" applyFont="1" applyAlignment="1">
      <alignment horizontal="center"/>
    </xf>
    <xf numFmtId="0" fontId="6" fillId="0" borderId="0" xfId="0" applyFont="1"/>
    <xf numFmtId="0" fontId="7" fillId="0" borderId="0" xfId="0" applyFont="1"/>
    <xf numFmtId="14" fontId="3" fillId="0" borderId="0" xfId="0" applyNumberFormat="1" applyFont="1"/>
    <xf numFmtId="0" fontId="7" fillId="0" borderId="0" xfId="0" applyFont="1" applyAlignment="1">
      <alignment horizontal="left"/>
    </xf>
    <xf numFmtId="164" fontId="0" fillId="0" borderId="0" xfId="1" applyNumberFormat="1" applyFont="1"/>
    <xf numFmtId="165" fontId="0" fillId="0" borderId="0" xfId="0" applyNumberFormat="1"/>
    <xf numFmtId="166" fontId="0" fillId="0" borderId="0" xfId="0" applyNumberFormat="1"/>
    <xf numFmtId="167" fontId="0" fillId="0" borderId="0" xfId="1" applyNumberFormat="1" applyFont="1"/>
    <xf numFmtId="168" fontId="0" fillId="0" borderId="0" xfId="0" applyNumberFormat="1"/>
    <xf numFmtId="168" fontId="3" fillId="0" borderId="0" xfId="0" applyNumberFormat="1" applyFont="1"/>
    <xf numFmtId="0" fontId="3" fillId="0" borderId="0" xfId="0" applyFont="1" applyAlignment="1">
      <alignment horizontal="right"/>
    </xf>
    <xf numFmtId="166" fontId="3" fillId="0" borderId="0" xfId="0" applyNumberFormat="1" applyFont="1"/>
    <xf numFmtId="167" fontId="3" fillId="0" borderId="0" xfId="1" applyNumberFormat="1" applyFont="1"/>
    <xf numFmtId="165" fontId="3" fillId="0" borderId="0" xfId="0" applyNumberFormat="1" applyFont="1"/>
    <xf numFmtId="169" fontId="0" fillId="0" borderId="0" xfId="1" applyNumberFormat="1" applyFont="1"/>
    <xf numFmtId="0" fontId="8" fillId="2" borderId="0" xfId="0" applyFont="1" applyFill="1"/>
    <xf numFmtId="0" fontId="0" fillId="2" borderId="0" xfId="0" applyFill="1"/>
    <xf numFmtId="0" fontId="1" fillId="2" borderId="0" xfId="0" applyFont="1" applyFill="1"/>
    <xf numFmtId="0" fontId="6" fillId="2" borderId="0" xfId="0" applyFont="1" applyFill="1"/>
    <xf numFmtId="0" fontId="3" fillId="2" borderId="0" xfId="0" applyFont="1" applyFill="1"/>
  </cellXfs>
  <cellStyles count="2">
    <cellStyle name="Normale" xfId="0" builtinId="0"/>
    <cellStyle name="Percentuale" xfId="1" builtinId="5"/>
  </cellStyles>
  <dxfs count="0"/>
  <tableStyles count="0" defaultTableStyle="TableStyleMedium2" defaultPivotStyle="PivotStyleLight16"/>
  <colors>
    <mruColors>
      <color rgb="FFFFFF66"/>
      <color rgb="FFFFFF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45720</xdr:colOff>
      <xdr:row>46</xdr:row>
      <xdr:rowOff>53340</xdr:rowOff>
    </xdr:from>
    <xdr:to>
      <xdr:col>12</xdr:col>
      <xdr:colOff>381000</xdr:colOff>
      <xdr:row>52</xdr:row>
      <xdr:rowOff>22860</xdr:rowOff>
    </xdr:to>
    <xdr:sp macro="" textlink="">
      <xdr:nvSpPr>
        <xdr:cNvPr id="2" name="CasellaDiTesto 1">
          <a:extLst>
            <a:ext uri="{FF2B5EF4-FFF2-40B4-BE49-F238E27FC236}">
              <a16:creationId xmlns:a16="http://schemas.microsoft.com/office/drawing/2014/main" id="{3E80F266-C29D-695A-6F11-5198386FBDF9}"/>
            </a:ext>
          </a:extLst>
        </xdr:cNvPr>
        <xdr:cNvSpPr txBox="1"/>
      </xdr:nvSpPr>
      <xdr:spPr>
        <a:xfrm>
          <a:off x="4503420" y="10203180"/>
          <a:ext cx="3383280"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This implicit dividend at maturity T=2 months, not</a:t>
          </a:r>
          <a:r>
            <a:rPr lang="it-IT" sz="1100" baseline="0"/>
            <a:t> so different from the real dividend 3,60$ that is planned for the 21st of april. This small difference is principally given by the method that we are using, indeed we are treating an American option as an European option (only on Vanilla option we have the Put-Call parity, and we used this property on this computation).</a:t>
          </a:r>
          <a:endParaRPr lang="it-IT" sz="1100"/>
        </a:p>
      </xdr:txBody>
    </xdr:sp>
    <xdr:clientData/>
  </xdr:twoCellAnchor>
  <xdr:twoCellAnchor>
    <xdr:from>
      <xdr:col>11</xdr:col>
      <xdr:colOff>510540</xdr:colOff>
      <xdr:row>15</xdr:row>
      <xdr:rowOff>91440</xdr:rowOff>
    </xdr:from>
    <xdr:to>
      <xdr:col>16</xdr:col>
      <xdr:colOff>76200</xdr:colOff>
      <xdr:row>18</xdr:row>
      <xdr:rowOff>213360</xdr:rowOff>
    </xdr:to>
    <xdr:sp macro="" textlink="">
      <xdr:nvSpPr>
        <xdr:cNvPr id="3" name="CasellaDiTesto 2">
          <a:extLst>
            <a:ext uri="{FF2B5EF4-FFF2-40B4-BE49-F238E27FC236}">
              <a16:creationId xmlns:a16="http://schemas.microsoft.com/office/drawing/2014/main" id="{D0089237-20D0-247A-CE2C-1C793EB2F858}"/>
            </a:ext>
          </a:extLst>
        </xdr:cNvPr>
        <xdr:cNvSpPr txBox="1"/>
      </xdr:nvSpPr>
      <xdr:spPr>
        <a:xfrm>
          <a:off x="7406640" y="3520440"/>
          <a:ext cx="2796540" cy="7848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Obtained</a:t>
          </a:r>
          <a:r>
            <a:rPr lang="it-IT" sz="1100" baseline="0"/>
            <a:t> from D0(T)=exp(-r*T) with T=2 months. The value is too small, the reason could be the approximaion of an American option as an European.</a:t>
          </a:r>
          <a:endParaRPr lang="it-IT" sz="1100"/>
        </a:p>
      </xdr:txBody>
    </xdr:sp>
    <xdr:clientData/>
  </xdr:twoCellAnchor>
  <xdr:twoCellAnchor>
    <xdr:from>
      <xdr:col>7</xdr:col>
      <xdr:colOff>426720</xdr:colOff>
      <xdr:row>84</xdr:row>
      <xdr:rowOff>182880</xdr:rowOff>
    </xdr:from>
    <xdr:to>
      <xdr:col>12</xdr:col>
      <xdr:colOff>411480</xdr:colOff>
      <xdr:row>88</xdr:row>
      <xdr:rowOff>15240</xdr:rowOff>
    </xdr:to>
    <xdr:sp macro="" textlink="">
      <xdr:nvSpPr>
        <xdr:cNvPr id="4" name="CasellaDiTesto 3">
          <a:extLst>
            <a:ext uri="{FF2B5EF4-FFF2-40B4-BE49-F238E27FC236}">
              <a16:creationId xmlns:a16="http://schemas.microsoft.com/office/drawing/2014/main" id="{8E648D18-B33B-F2CA-85F3-F3A3434DE6E9}"/>
            </a:ext>
          </a:extLst>
        </xdr:cNvPr>
        <xdr:cNvSpPr txBox="1"/>
      </xdr:nvSpPr>
      <xdr:spPr>
        <a:xfrm>
          <a:off x="4792980" y="17708880"/>
          <a:ext cx="3032760" cy="69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To compute the</a:t>
          </a:r>
          <a:r>
            <a:rPr lang="it-IT" sz="1100" baseline="0"/>
            <a:t> Forward price at maturity T (F0(T)) and the Dividend rate at maturity T (div) we used an at the money strike (ATM Strike K=329,93).</a:t>
          </a:r>
          <a:endParaRPr lang="it-IT" sz="1100"/>
        </a:p>
      </xdr:txBody>
    </xdr:sp>
    <xdr:clientData/>
  </xdr:twoCellAnchor>
  <xdr:twoCellAnchor>
    <xdr:from>
      <xdr:col>7</xdr:col>
      <xdr:colOff>457200</xdr:colOff>
      <xdr:row>90</xdr:row>
      <xdr:rowOff>0</xdr:rowOff>
    </xdr:from>
    <xdr:to>
      <xdr:col>12</xdr:col>
      <xdr:colOff>388620</xdr:colOff>
      <xdr:row>97</xdr:row>
      <xdr:rowOff>76200</xdr:rowOff>
    </xdr:to>
    <xdr:sp macro="" textlink="">
      <xdr:nvSpPr>
        <xdr:cNvPr id="5" name="CasellaDiTesto 4">
          <a:extLst>
            <a:ext uri="{FF2B5EF4-FFF2-40B4-BE49-F238E27FC236}">
              <a16:creationId xmlns:a16="http://schemas.microsoft.com/office/drawing/2014/main" id="{BC547F1A-2059-1216-A3B3-D00DC27AAEA6}"/>
            </a:ext>
          </a:extLst>
        </xdr:cNvPr>
        <xdr:cNvSpPr txBox="1"/>
      </xdr:nvSpPr>
      <xdr:spPr>
        <a:xfrm>
          <a:off x="4968240" y="19690080"/>
          <a:ext cx="2979420"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As for the previous computation, the approximation of an</a:t>
          </a:r>
          <a:r>
            <a:rPr lang="it-IT" sz="1100" baseline="0"/>
            <a:t> American option as an European one to use the Put-Call parity is not so good. In particular it'causing the strange behaviour not monotone of the dividends (for example at 6 months, when the sum of dividends from 0 to 6 months). Furthermore we are also using as price of the call the mid price that is not a fair price.</a:t>
          </a:r>
          <a:endParaRPr lang="it-IT" sz="1100"/>
        </a:p>
      </xdr:txBody>
    </xdr:sp>
    <xdr:clientData/>
  </xdr:twoCellAnchor>
  <xdr:twoCellAnchor>
    <xdr:from>
      <xdr:col>17</xdr:col>
      <xdr:colOff>243840</xdr:colOff>
      <xdr:row>86</xdr:row>
      <xdr:rowOff>198120</xdr:rowOff>
    </xdr:from>
    <xdr:to>
      <xdr:col>21</xdr:col>
      <xdr:colOff>129540</xdr:colOff>
      <xdr:row>89</xdr:row>
      <xdr:rowOff>175260</xdr:rowOff>
    </xdr:to>
    <xdr:sp macro="" textlink="">
      <xdr:nvSpPr>
        <xdr:cNvPr id="6" name="CasellaDiTesto 5">
          <a:extLst>
            <a:ext uri="{FF2B5EF4-FFF2-40B4-BE49-F238E27FC236}">
              <a16:creationId xmlns:a16="http://schemas.microsoft.com/office/drawing/2014/main" id="{BC9B0D9D-B9A3-38AC-AD57-CC0829CE2DC6}"/>
            </a:ext>
          </a:extLst>
        </xdr:cNvPr>
        <xdr:cNvSpPr txBox="1"/>
      </xdr:nvSpPr>
      <xdr:spPr>
        <a:xfrm>
          <a:off x="11071860" y="18166080"/>
          <a:ext cx="2324100" cy="617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We</a:t>
          </a:r>
          <a:r>
            <a:rPr lang="it-IT" sz="1100" baseline="0"/>
            <a:t> are computing the value of  the implicit dividend from o to maturity T (so from 0 to 1 or from 0 to 3 ecc...).</a:t>
          </a:r>
          <a:endParaRPr lang="it-IT" sz="1100"/>
        </a:p>
      </xdr:txBody>
    </xdr:sp>
    <xdr:clientData/>
  </xdr:twoCellAnchor>
  <xdr:twoCellAnchor>
    <xdr:from>
      <xdr:col>17</xdr:col>
      <xdr:colOff>297180</xdr:colOff>
      <xdr:row>92</xdr:row>
      <xdr:rowOff>129540</xdr:rowOff>
    </xdr:from>
    <xdr:to>
      <xdr:col>21</xdr:col>
      <xdr:colOff>68580</xdr:colOff>
      <xdr:row>94</xdr:row>
      <xdr:rowOff>121920</xdr:rowOff>
    </xdr:to>
    <xdr:sp macro="" textlink="">
      <xdr:nvSpPr>
        <xdr:cNvPr id="7" name="CasellaDiTesto 6">
          <a:extLst>
            <a:ext uri="{FF2B5EF4-FFF2-40B4-BE49-F238E27FC236}">
              <a16:creationId xmlns:a16="http://schemas.microsoft.com/office/drawing/2014/main" id="{AF274B28-7438-7056-B2CB-6E85DAC6CD02}"/>
            </a:ext>
          </a:extLst>
        </xdr:cNvPr>
        <xdr:cNvSpPr txBox="1"/>
      </xdr:nvSpPr>
      <xdr:spPr>
        <a:xfrm>
          <a:off x="11125200" y="19354800"/>
          <a:ext cx="2209800" cy="4343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The</a:t>
          </a:r>
          <a:r>
            <a:rPr lang="it-IT" sz="1100" baseline="0"/>
            <a:t> value obtained from 1 year seems to ne the more accurate.</a:t>
          </a:r>
          <a:endParaRPr lang="it-IT" sz="1100"/>
        </a:p>
      </xdr:txBody>
    </xdr:sp>
    <xdr:clientData/>
  </xdr:twoCellAnchor>
  <xdr:twoCellAnchor>
    <xdr:from>
      <xdr:col>8</xdr:col>
      <xdr:colOff>373380</xdr:colOff>
      <xdr:row>59</xdr:row>
      <xdr:rowOff>129540</xdr:rowOff>
    </xdr:from>
    <xdr:to>
      <xdr:col>12</xdr:col>
      <xdr:colOff>220980</xdr:colOff>
      <xdr:row>76</xdr:row>
      <xdr:rowOff>68580</xdr:rowOff>
    </xdr:to>
    <xdr:sp macro="" textlink="">
      <xdr:nvSpPr>
        <xdr:cNvPr id="8" name="CasellaDiTesto 7">
          <a:extLst>
            <a:ext uri="{FF2B5EF4-FFF2-40B4-BE49-F238E27FC236}">
              <a16:creationId xmlns:a16="http://schemas.microsoft.com/office/drawing/2014/main" id="{EEA2A28A-56B9-A260-CF49-478C01E67D9E}"/>
            </a:ext>
          </a:extLst>
        </xdr:cNvPr>
        <xdr:cNvSpPr txBox="1"/>
      </xdr:nvSpPr>
      <xdr:spPr>
        <a:xfrm>
          <a:off x="5494020" y="13114020"/>
          <a:ext cx="2286000" cy="35966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To find D0(T)and r  at each T we just used the procedure of the</a:t>
          </a:r>
          <a:r>
            <a:rPr lang="it-IT" sz="1100" baseline="0"/>
            <a:t> </a:t>
          </a:r>
          <a:r>
            <a:rPr lang="it-IT" sz="1100" i="1" baseline="0"/>
            <a:t>points 2), 3) </a:t>
          </a:r>
          <a:r>
            <a:rPr lang="it-IT" sz="1100" i="0" baseline="0"/>
            <a:t>with the following choice of options:</a:t>
          </a:r>
        </a:p>
        <a:p>
          <a:r>
            <a:rPr lang="it-IT" sz="1100" i="0" baseline="0"/>
            <a:t>T=1: RACE|20260424|265.00C</a:t>
          </a:r>
          <a:r>
            <a:rPr lang="it-IT" sz="1100" b="0" i="0" u="none" strike="noStrike">
              <a:solidFill>
                <a:schemeClr val="dk1"/>
              </a:solidFill>
              <a:effectLst/>
              <a:latin typeface="+mn-lt"/>
              <a:ea typeface="+mn-ea"/>
              <a:cs typeface="+mn-cs"/>
            </a:rPr>
            <a:t>,</a:t>
          </a:r>
        </a:p>
        <a:p>
          <a:r>
            <a:rPr lang="it-IT" sz="1100" b="0" i="0" u="none" strike="noStrike">
              <a:solidFill>
                <a:schemeClr val="dk1"/>
              </a:solidFill>
              <a:effectLst/>
              <a:latin typeface="+mn-lt"/>
              <a:ea typeface="+mn-ea"/>
              <a:cs typeface="+mn-cs"/>
            </a:rPr>
            <a:t>          RACE|20260424|265.00P,</a:t>
          </a:r>
        </a:p>
        <a:p>
          <a:r>
            <a:rPr lang="it-IT" sz="1100" b="0" i="0" u="none" strike="noStrike">
              <a:solidFill>
                <a:schemeClr val="dk1"/>
              </a:solidFill>
              <a:effectLst/>
              <a:latin typeface="+mn-lt"/>
              <a:ea typeface="+mn-ea"/>
              <a:cs typeface="+mn-cs"/>
            </a:rPr>
            <a:t>          RACE|20260424|385.00C,</a:t>
          </a:r>
        </a:p>
        <a:p>
          <a:r>
            <a:rPr lang="it-IT" sz="1100" b="0" i="0" u="none" strike="noStrike">
              <a:solidFill>
                <a:schemeClr val="dk1"/>
              </a:solidFill>
              <a:effectLst/>
              <a:latin typeface="+mn-lt"/>
              <a:ea typeface="+mn-ea"/>
              <a:cs typeface="+mn-cs"/>
            </a:rPr>
            <a:t>          RACE|20260424|385.00P;</a:t>
          </a:r>
        </a:p>
        <a:p>
          <a:r>
            <a:rPr lang="it-IT" sz="1100" b="0" i="0" u="none" strike="noStrike">
              <a:solidFill>
                <a:schemeClr val="dk1"/>
              </a:solidFill>
              <a:effectLst/>
              <a:latin typeface="+mn-lt"/>
              <a:ea typeface="+mn-ea"/>
              <a:cs typeface="+mn-cs"/>
            </a:rPr>
            <a:t>T=3:</a:t>
          </a:r>
          <a:r>
            <a:rPr lang="it-IT" sz="1100" b="0" i="0" u="none" strike="noStrike" baseline="0">
              <a:solidFill>
                <a:schemeClr val="dk1"/>
              </a:solidFill>
              <a:effectLst/>
              <a:latin typeface="+mn-lt"/>
              <a:ea typeface="+mn-ea"/>
              <a:cs typeface="+mn-cs"/>
            </a:rPr>
            <a:t> </a:t>
          </a:r>
          <a:r>
            <a:rPr lang="it-IT" sz="1100" b="0" i="0">
              <a:solidFill>
                <a:schemeClr val="dk1"/>
              </a:solidFill>
              <a:effectLst/>
              <a:latin typeface="+mn-lt"/>
              <a:ea typeface="+mn-ea"/>
              <a:cs typeface="+mn-cs"/>
            </a:rPr>
            <a:t>RACE|20260618|310.00C</a:t>
          </a:r>
          <a:r>
            <a:rPr lang="it-IT">
              <a:effectLst/>
            </a:rPr>
            <a:t>,</a:t>
          </a:r>
        </a:p>
        <a:p>
          <a:r>
            <a:rPr lang="it-IT" sz="1100" i="1">
              <a:effectLst/>
            </a:rPr>
            <a:t>          </a:t>
          </a:r>
          <a:r>
            <a:rPr lang="it-IT" sz="1100" i="0">
              <a:effectLst/>
            </a:rPr>
            <a:t>RACE|20260618|310.00P,</a:t>
          </a:r>
          <a:r>
            <a:rPr lang="it-IT" sz="1100" b="0" i="0" u="none" strike="noStrike">
              <a:solidFill>
                <a:schemeClr val="dk1"/>
              </a:solidFill>
              <a:effectLst/>
              <a:latin typeface="+mn-lt"/>
              <a:ea typeface="+mn-ea"/>
              <a:cs typeface="+mn-cs"/>
            </a:rPr>
            <a:t> </a:t>
          </a:r>
        </a:p>
        <a:p>
          <a:r>
            <a:rPr lang="it-IT" sz="1100" b="0" i="0" u="none" strike="noStrike">
              <a:solidFill>
                <a:schemeClr val="dk1"/>
              </a:solidFill>
              <a:effectLst/>
              <a:latin typeface="+mn-lt"/>
              <a:ea typeface="+mn-ea"/>
              <a:cs typeface="+mn-cs"/>
            </a:rPr>
            <a:t>          </a:t>
          </a:r>
          <a:r>
            <a:rPr lang="it-IT" sz="1100" b="0" i="0">
              <a:solidFill>
                <a:schemeClr val="dk1"/>
              </a:solidFill>
              <a:effectLst/>
              <a:latin typeface="+mn-lt"/>
              <a:ea typeface="+mn-ea"/>
              <a:cs typeface="+mn-cs"/>
            </a:rPr>
            <a:t>RACE|20260618|340.00C,</a:t>
          </a:r>
        </a:p>
        <a:p>
          <a:r>
            <a:rPr lang="it-IT" sz="1100" b="0" i="0">
              <a:solidFill>
                <a:schemeClr val="dk1"/>
              </a:solidFill>
              <a:effectLst/>
              <a:latin typeface="+mn-lt"/>
              <a:ea typeface="+mn-ea"/>
              <a:cs typeface="+mn-cs"/>
            </a:rPr>
            <a:t>          RACE|20260618|340.00P;</a:t>
          </a:r>
        </a:p>
        <a:p>
          <a:r>
            <a:rPr lang="it-IT" sz="1100" b="0" i="0">
              <a:solidFill>
                <a:schemeClr val="dk1"/>
              </a:solidFill>
              <a:effectLst/>
              <a:latin typeface="+mn-lt"/>
              <a:ea typeface="+mn-ea"/>
              <a:cs typeface="+mn-cs"/>
            </a:rPr>
            <a:t>T=6:</a:t>
          </a:r>
          <a:r>
            <a:rPr lang="it-IT" sz="1100" b="0" i="0" baseline="0">
              <a:solidFill>
                <a:schemeClr val="dk1"/>
              </a:solidFill>
              <a:effectLst/>
              <a:latin typeface="+mn-lt"/>
              <a:ea typeface="+mn-ea"/>
              <a:cs typeface="+mn-cs"/>
            </a:rPr>
            <a:t> </a:t>
          </a:r>
          <a:r>
            <a:rPr lang="it-IT" sz="1100" b="0" i="0">
              <a:solidFill>
                <a:schemeClr val="dk1"/>
              </a:solidFill>
              <a:effectLst/>
              <a:latin typeface="+mn-lt"/>
              <a:ea typeface="+mn-ea"/>
              <a:cs typeface="+mn-cs"/>
            </a:rPr>
            <a:t>RACE|20260918|310.00C</a:t>
          </a:r>
          <a:r>
            <a:rPr lang="it-IT" sz="1100" b="0" i="0" u="none" strike="noStrike">
              <a:solidFill>
                <a:schemeClr val="dk1"/>
              </a:solidFill>
              <a:effectLst/>
              <a:latin typeface="+mn-lt"/>
              <a:ea typeface="+mn-ea"/>
              <a:cs typeface="+mn-cs"/>
            </a:rPr>
            <a:t>, </a:t>
          </a:r>
        </a:p>
        <a:p>
          <a:r>
            <a:rPr lang="it-IT" sz="1100" i="1"/>
            <a:t>          </a:t>
          </a:r>
          <a:r>
            <a:rPr lang="it-IT" sz="1100" b="0" i="0">
              <a:solidFill>
                <a:schemeClr val="dk1"/>
              </a:solidFill>
              <a:effectLst/>
              <a:latin typeface="+mn-lt"/>
              <a:ea typeface="+mn-ea"/>
              <a:cs typeface="+mn-cs"/>
            </a:rPr>
            <a:t>RACE|20260918|310.00P</a:t>
          </a:r>
          <a:r>
            <a:rPr lang="it-IT" sz="1100" b="0" i="0" u="none" strike="noStrike">
              <a:solidFill>
                <a:schemeClr val="dk1"/>
              </a:solidFill>
              <a:effectLst/>
              <a:latin typeface="+mn-lt"/>
              <a:ea typeface="+mn-ea"/>
              <a:cs typeface="+mn-cs"/>
            </a:rPr>
            <a:t>,</a:t>
          </a:r>
        </a:p>
        <a:p>
          <a:r>
            <a:rPr lang="it-IT" sz="1100" b="0" i="0" u="none" strike="noStrike" baseline="0">
              <a:solidFill>
                <a:schemeClr val="dk1"/>
              </a:solidFill>
              <a:effectLst/>
              <a:latin typeface="+mn-lt"/>
              <a:ea typeface="+mn-ea"/>
              <a:cs typeface="+mn-cs"/>
            </a:rPr>
            <a:t>          </a:t>
          </a:r>
          <a:r>
            <a:rPr lang="it-IT" sz="1100" b="0" i="0">
              <a:solidFill>
                <a:schemeClr val="dk1"/>
              </a:solidFill>
              <a:effectLst/>
              <a:latin typeface="+mn-lt"/>
              <a:ea typeface="+mn-ea"/>
              <a:cs typeface="+mn-cs"/>
            </a:rPr>
            <a:t>RACE|20260918|340.00C,</a:t>
          </a:r>
        </a:p>
        <a:p>
          <a:r>
            <a:rPr lang="it-IT" sz="1100" b="0" i="0">
              <a:solidFill>
                <a:schemeClr val="dk1"/>
              </a:solidFill>
              <a:effectLst/>
              <a:latin typeface="+mn-lt"/>
              <a:ea typeface="+mn-ea"/>
              <a:cs typeface="+mn-cs"/>
            </a:rPr>
            <a:t>          RACE|20260918|340.00P;</a:t>
          </a:r>
        </a:p>
        <a:p>
          <a:r>
            <a:rPr lang="it-IT" sz="1100" b="0" i="0">
              <a:solidFill>
                <a:schemeClr val="dk1"/>
              </a:solidFill>
              <a:effectLst/>
              <a:latin typeface="+mn-lt"/>
              <a:ea typeface="+mn-ea"/>
              <a:cs typeface="+mn-cs"/>
            </a:rPr>
            <a:t>T=9:</a:t>
          </a:r>
          <a:r>
            <a:rPr lang="it-IT" sz="1100" b="0" i="0" baseline="0">
              <a:solidFill>
                <a:schemeClr val="dk1"/>
              </a:solidFill>
              <a:effectLst/>
              <a:latin typeface="+mn-lt"/>
              <a:ea typeface="+mn-ea"/>
              <a:cs typeface="+mn-cs"/>
            </a:rPr>
            <a:t> </a:t>
          </a:r>
          <a:r>
            <a:rPr lang="it-IT" sz="1100" b="0" i="0">
              <a:solidFill>
                <a:schemeClr val="dk1"/>
              </a:solidFill>
              <a:effectLst/>
              <a:latin typeface="+mn-lt"/>
              <a:ea typeface="+mn-ea"/>
              <a:cs typeface="+mn-cs"/>
            </a:rPr>
            <a:t>RACE|20261218|340.00C</a:t>
          </a:r>
          <a:r>
            <a:rPr lang="it-IT" sz="1100" b="0" i="0" u="none" strike="noStrike">
              <a:solidFill>
                <a:schemeClr val="dk1"/>
              </a:solidFill>
              <a:effectLst/>
              <a:latin typeface="+mn-lt"/>
              <a:ea typeface="+mn-ea"/>
              <a:cs typeface="+mn-cs"/>
            </a:rPr>
            <a:t>,</a:t>
          </a:r>
        </a:p>
        <a:p>
          <a:r>
            <a:rPr lang="it-IT" sz="1100" b="0" i="0" u="none" strike="noStrike" baseline="0">
              <a:solidFill>
                <a:schemeClr val="dk1"/>
              </a:solidFill>
              <a:effectLst/>
              <a:latin typeface="+mn-lt"/>
              <a:ea typeface="+mn-ea"/>
              <a:cs typeface="+mn-cs"/>
            </a:rPr>
            <a:t>          RACE|20261218|340.00P</a:t>
          </a:r>
          <a:r>
            <a:rPr lang="it-IT" sz="1100" b="0" i="0">
              <a:solidFill>
                <a:schemeClr val="dk1"/>
              </a:solidFill>
              <a:effectLst/>
              <a:latin typeface="+mn-lt"/>
              <a:ea typeface="+mn-ea"/>
              <a:cs typeface="+mn-cs"/>
            </a:rPr>
            <a:t>,</a:t>
          </a:r>
        </a:p>
        <a:p>
          <a:r>
            <a:rPr lang="it-IT" sz="1100" b="0" i="0">
              <a:solidFill>
                <a:schemeClr val="dk1"/>
              </a:solidFill>
              <a:effectLst/>
              <a:latin typeface="+mn-lt"/>
              <a:ea typeface="+mn-ea"/>
              <a:cs typeface="+mn-cs"/>
            </a:rPr>
            <a:t>          RACE|20261218|320.00C,</a:t>
          </a:r>
        </a:p>
        <a:p>
          <a:r>
            <a:rPr lang="it-IT" sz="1100" b="0" i="0">
              <a:solidFill>
                <a:schemeClr val="dk1"/>
              </a:solidFill>
              <a:effectLst/>
              <a:latin typeface="+mn-lt"/>
              <a:ea typeface="+mn-ea"/>
              <a:cs typeface="+mn-cs"/>
            </a:rPr>
            <a:t>          RACE|20261218|320.00P.</a:t>
          </a:r>
          <a:endParaRPr lang="it-IT" sz="1100" i="1"/>
        </a:p>
      </xdr:txBody>
    </xdr:sp>
    <xdr:clientData/>
  </xdr:twoCellAnchor>
  <xdr:twoCellAnchor>
    <xdr:from>
      <xdr:col>17</xdr:col>
      <xdr:colOff>556260</xdr:colOff>
      <xdr:row>60</xdr:row>
      <xdr:rowOff>129540</xdr:rowOff>
    </xdr:from>
    <xdr:to>
      <xdr:col>21</xdr:col>
      <xdr:colOff>556260</xdr:colOff>
      <xdr:row>63</xdr:row>
      <xdr:rowOff>160020</xdr:rowOff>
    </xdr:to>
    <xdr:sp macro="" textlink="">
      <xdr:nvSpPr>
        <xdr:cNvPr id="9" name="CasellaDiTesto 8">
          <a:extLst>
            <a:ext uri="{FF2B5EF4-FFF2-40B4-BE49-F238E27FC236}">
              <a16:creationId xmlns:a16="http://schemas.microsoft.com/office/drawing/2014/main" id="{091D7C47-C1F7-5ABE-CFEB-2C27158F3DED}"/>
            </a:ext>
          </a:extLst>
        </xdr:cNvPr>
        <xdr:cNvSpPr txBox="1"/>
      </xdr:nvSpPr>
      <xdr:spPr>
        <a:xfrm>
          <a:off x="11750040" y="13296900"/>
          <a:ext cx="2438400" cy="693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Ferrari's</a:t>
          </a:r>
          <a:r>
            <a:rPr lang="it-IT" sz="1100" baseline="0"/>
            <a:t> oprions for March 2027 are still not avaible, so i will treat the 9 months case instead of 1 year.</a:t>
          </a:r>
          <a:endParaRPr lang="it-IT" sz="1100"/>
        </a:p>
      </xdr:txBody>
    </xdr:sp>
    <xdr:clientData/>
  </xdr:twoCellAnchor>
  <xdr:twoCellAnchor>
    <xdr:from>
      <xdr:col>19</xdr:col>
      <xdr:colOff>76200</xdr:colOff>
      <xdr:row>65</xdr:row>
      <xdr:rowOff>0</xdr:rowOff>
    </xdr:from>
    <xdr:to>
      <xdr:col>21</xdr:col>
      <xdr:colOff>281940</xdr:colOff>
      <xdr:row>73</xdr:row>
      <xdr:rowOff>68580</xdr:rowOff>
    </xdr:to>
    <xdr:sp macro="" textlink="">
      <xdr:nvSpPr>
        <xdr:cNvPr id="12" name="CasellaDiTesto 11">
          <a:extLst>
            <a:ext uri="{FF2B5EF4-FFF2-40B4-BE49-F238E27FC236}">
              <a16:creationId xmlns:a16="http://schemas.microsoft.com/office/drawing/2014/main" id="{9C00D565-64C2-EB6A-3A77-E2F760588FAA}"/>
            </a:ext>
          </a:extLst>
        </xdr:cNvPr>
        <xdr:cNvSpPr txBox="1"/>
      </xdr:nvSpPr>
      <xdr:spPr>
        <a:xfrm>
          <a:off x="12489180" y="14272260"/>
          <a:ext cx="1424940" cy="1798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To compute D0(T)</a:t>
          </a:r>
          <a:r>
            <a:rPr lang="it-IT" sz="1100" baseline="0"/>
            <a:t> also if we should use the two strikes really far, except than for T=1 month I used options almost ATM because otherwise the D0(T) obtained was greater than 1.</a:t>
          </a:r>
          <a:endParaRPr lang="it-IT" sz="1100"/>
        </a:p>
      </xdr:txBody>
    </xdr:sp>
    <xdr:clientData/>
  </xdr:twoCellAnchor>
  <xdr:twoCellAnchor>
    <xdr:from>
      <xdr:col>18</xdr:col>
      <xdr:colOff>426720</xdr:colOff>
      <xdr:row>74</xdr:row>
      <xdr:rowOff>160020</xdr:rowOff>
    </xdr:from>
    <xdr:to>
      <xdr:col>21</xdr:col>
      <xdr:colOff>68580</xdr:colOff>
      <xdr:row>81</xdr:row>
      <xdr:rowOff>182880</xdr:rowOff>
    </xdr:to>
    <xdr:sp macro="" textlink="">
      <xdr:nvSpPr>
        <xdr:cNvPr id="13" name="CasellaDiTesto 12">
          <a:extLst>
            <a:ext uri="{FF2B5EF4-FFF2-40B4-BE49-F238E27FC236}">
              <a16:creationId xmlns:a16="http://schemas.microsoft.com/office/drawing/2014/main" id="{03F1669D-81FA-3DA6-4F1F-1064D9CAF562}"/>
            </a:ext>
          </a:extLst>
        </xdr:cNvPr>
        <xdr:cNvSpPr txBox="1"/>
      </xdr:nvSpPr>
      <xdr:spPr>
        <a:xfrm>
          <a:off x="12443460" y="16360140"/>
          <a:ext cx="1470660" cy="1569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it-IT" sz="1100"/>
            <a:t>An</a:t>
          </a:r>
          <a:r>
            <a:rPr lang="it-IT" sz="1100" baseline="0"/>
            <a:t> interesting result is that we were able with this estimate to predict with great accuracy the dividend scheduled for the 21st of April of 3,60$ with our computation for T=1.</a:t>
          </a:r>
          <a:endParaRPr lang="it-IT" sz="1100"/>
        </a:p>
      </xdr:txBody>
    </xdr: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39A28-45BF-421B-B159-742F93CF9C4E}">
  <sheetPr codeName="Foglio1">
    <pageSetUpPr fitToPage="1"/>
  </sheetPr>
  <dimension ref="A1:S97"/>
  <sheetViews>
    <sheetView topLeftCell="A78" workbookViewId="0">
      <selection activeCell="A59" sqref="A59:XFD59"/>
    </sheetView>
  </sheetViews>
  <sheetFormatPr defaultRowHeight="14.4" x14ac:dyDescent="0.3"/>
  <cols>
    <col min="4" max="4" width="11" bestFit="1" customWidth="1"/>
    <col min="7" max="7" width="10.33203125" customWidth="1"/>
    <col min="14" max="14" width="13.6640625" bestFit="1" customWidth="1"/>
    <col min="16" max="16" width="12" customWidth="1"/>
    <col min="17" max="17" width="12.6640625" customWidth="1"/>
  </cols>
  <sheetData>
    <row r="1" spans="1:17" ht="23.4" x14ac:dyDescent="0.45">
      <c r="C1" s="1"/>
      <c r="D1" s="1"/>
      <c r="E1" s="1"/>
      <c r="F1" s="1"/>
      <c r="G1" s="1"/>
      <c r="H1" s="1"/>
      <c r="I1" s="1"/>
      <c r="J1" s="5" t="s">
        <v>68</v>
      </c>
    </row>
    <row r="2" spans="1:17" ht="21.6" customHeight="1" x14ac:dyDescent="0.45">
      <c r="A2" t="s">
        <v>86</v>
      </c>
      <c r="C2" s="1"/>
      <c r="D2" s="1"/>
      <c r="E2" s="1"/>
      <c r="F2" s="1"/>
      <c r="G2" s="1"/>
      <c r="H2" s="1"/>
      <c r="I2" s="1"/>
      <c r="J2" s="5"/>
    </row>
    <row r="3" spans="1:17" ht="17.399999999999999" customHeight="1" x14ac:dyDescent="0.45">
      <c r="A3" s="6" t="s">
        <v>36</v>
      </c>
      <c r="C3" s="1"/>
      <c r="D3" s="2">
        <v>329.93</v>
      </c>
      <c r="E3" s="1"/>
      <c r="F3" s="1"/>
      <c r="G3" s="1"/>
      <c r="H3" s="1"/>
      <c r="I3" s="1"/>
      <c r="J3" s="5"/>
    </row>
    <row r="4" spans="1:17" ht="23.4" x14ac:dyDescent="0.45">
      <c r="C4" s="1"/>
      <c r="D4" s="1"/>
      <c r="E4" s="1"/>
      <c r="F4" s="1"/>
      <c r="G4" s="1"/>
      <c r="H4" s="1"/>
      <c r="I4" s="1"/>
      <c r="J4" s="5"/>
    </row>
    <row r="5" spans="1:17" s="21" customFormat="1" ht="16.2" customHeight="1" x14ac:dyDescent="0.45">
      <c r="A5" s="20" t="s">
        <v>29</v>
      </c>
      <c r="C5" s="22"/>
      <c r="D5" s="22"/>
      <c r="E5" s="22"/>
      <c r="F5" s="22"/>
      <c r="G5" s="22"/>
      <c r="H5" s="22"/>
      <c r="I5" s="22"/>
      <c r="J5" s="23"/>
    </row>
    <row r="7" spans="1:17" ht="17.399999999999999" x14ac:dyDescent="0.35">
      <c r="A7" s="6" t="s">
        <v>11</v>
      </c>
      <c r="C7" s="2"/>
      <c r="D7" s="6" t="s">
        <v>12</v>
      </c>
      <c r="H7" s="6" t="s">
        <v>23</v>
      </c>
      <c r="J7" s="6"/>
      <c r="K7" s="6" t="s">
        <v>24</v>
      </c>
      <c r="N7" s="6" t="s">
        <v>25</v>
      </c>
      <c r="P7" s="6"/>
      <c r="Q7" s="6" t="s">
        <v>26</v>
      </c>
    </row>
    <row r="8" spans="1:17" x14ac:dyDescent="0.3">
      <c r="H8">
        <f>(D11+D13)/2</f>
        <v>36.849999999999994</v>
      </c>
      <c r="K8">
        <f>(D17+D19)/2</f>
        <v>9.5500000000000007</v>
      </c>
      <c r="N8">
        <f>(D25+D27)/2</f>
        <v>7.95</v>
      </c>
      <c r="Q8">
        <f>(D31+D33)/2</f>
        <v>40.6</v>
      </c>
    </row>
    <row r="9" spans="1:17" ht="17.399999999999999" x14ac:dyDescent="0.35">
      <c r="A9" s="6" t="s">
        <v>16</v>
      </c>
      <c r="D9" s="2" t="s">
        <v>71</v>
      </c>
    </row>
    <row r="10" spans="1:17" ht="17.399999999999999" x14ac:dyDescent="0.35">
      <c r="A10" s="6"/>
      <c r="D10" s="2"/>
    </row>
    <row r="11" spans="1:17" ht="17.399999999999999" x14ac:dyDescent="0.35">
      <c r="A11" s="6" t="s">
        <v>20</v>
      </c>
      <c r="D11" s="2">
        <v>38.299999999999997</v>
      </c>
    </row>
    <row r="12" spans="1:17" ht="17.399999999999999" x14ac:dyDescent="0.35">
      <c r="A12" s="6"/>
      <c r="D12" s="2"/>
      <c r="I12" s="2" t="s">
        <v>38</v>
      </c>
      <c r="O12" s="6" t="s">
        <v>37</v>
      </c>
    </row>
    <row r="13" spans="1:17" ht="17.399999999999999" x14ac:dyDescent="0.35">
      <c r="A13" s="6" t="s">
        <v>22</v>
      </c>
      <c r="D13" s="2">
        <v>35.4</v>
      </c>
      <c r="I13" s="6"/>
      <c r="O13">
        <f>(H8-K8+Q8-N8)/(D35-D21)</f>
        <v>0.99916666666666643</v>
      </c>
    </row>
    <row r="14" spans="1:17" ht="17.399999999999999" x14ac:dyDescent="0.35">
      <c r="A14" s="6"/>
      <c r="D14" s="2"/>
      <c r="I14" s="2"/>
    </row>
    <row r="15" spans="1:17" ht="17.399999999999999" x14ac:dyDescent="0.35">
      <c r="A15" s="6" t="s">
        <v>18</v>
      </c>
      <c r="D15" s="2" t="s">
        <v>72</v>
      </c>
    </row>
    <row r="16" spans="1:17" ht="17.399999999999999" x14ac:dyDescent="0.35">
      <c r="A16" s="6"/>
      <c r="D16" s="2"/>
      <c r="I16" s="6" t="s">
        <v>39</v>
      </c>
      <c r="K16" s="6" t="s">
        <v>40</v>
      </c>
    </row>
    <row r="17" spans="1:11" ht="17.399999999999999" x14ac:dyDescent="0.35">
      <c r="A17" s="6" t="s">
        <v>20</v>
      </c>
      <c r="D17" s="2">
        <v>10.6</v>
      </c>
      <c r="K17">
        <f>-LN(O13)/(2/12)</f>
        <v>5.0020844914660523E-3</v>
      </c>
    </row>
    <row r="18" spans="1:11" ht="17.399999999999999" x14ac:dyDescent="0.35">
      <c r="A18" s="6"/>
      <c r="D18" s="2"/>
      <c r="K18" s="9">
        <f>K17</f>
        <v>5.0020844914660523E-3</v>
      </c>
    </row>
    <row r="19" spans="1:11" ht="17.399999999999999" x14ac:dyDescent="0.35">
      <c r="A19" s="6" t="s">
        <v>22</v>
      </c>
      <c r="D19" s="2">
        <v>8.5</v>
      </c>
    </row>
    <row r="21" spans="1:11" ht="17.399999999999999" x14ac:dyDescent="0.35">
      <c r="A21" s="6" t="s">
        <v>13</v>
      </c>
      <c r="D21" s="2">
        <v>300</v>
      </c>
    </row>
    <row r="22" spans="1:11" ht="17.399999999999999" x14ac:dyDescent="0.35">
      <c r="A22" s="6"/>
      <c r="D22" s="2"/>
    </row>
    <row r="23" spans="1:11" ht="17.399999999999999" x14ac:dyDescent="0.35">
      <c r="A23" s="6" t="s">
        <v>17</v>
      </c>
      <c r="D23" s="2" t="s">
        <v>69</v>
      </c>
    </row>
    <row r="24" spans="1:11" ht="17.399999999999999" x14ac:dyDescent="0.35">
      <c r="A24" s="6"/>
      <c r="D24" s="2"/>
    </row>
    <row r="25" spans="1:11" ht="17.399999999999999" x14ac:dyDescent="0.35">
      <c r="A25" s="6" t="s">
        <v>20</v>
      </c>
      <c r="D25" s="2">
        <v>9</v>
      </c>
    </row>
    <row r="26" spans="1:11" ht="17.399999999999999" x14ac:dyDescent="0.35">
      <c r="A26" s="6"/>
      <c r="D26" s="2"/>
    </row>
    <row r="27" spans="1:11" ht="17.399999999999999" x14ac:dyDescent="0.35">
      <c r="A27" s="6" t="s">
        <v>22</v>
      </c>
      <c r="D27" s="2">
        <v>6.9</v>
      </c>
    </row>
    <row r="29" spans="1:11" ht="17.399999999999999" x14ac:dyDescent="0.35">
      <c r="A29" s="6" t="s">
        <v>19</v>
      </c>
      <c r="D29" s="2" t="s">
        <v>70</v>
      </c>
    </row>
    <row r="30" spans="1:11" ht="17.399999999999999" x14ac:dyDescent="0.35">
      <c r="A30" s="6"/>
      <c r="D30" s="2"/>
    </row>
    <row r="31" spans="1:11" ht="17.399999999999999" x14ac:dyDescent="0.35">
      <c r="A31" s="6" t="s">
        <v>20</v>
      </c>
      <c r="D31" s="2">
        <v>42</v>
      </c>
    </row>
    <row r="32" spans="1:11" ht="17.399999999999999" x14ac:dyDescent="0.35">
      <c r="A32" s="6"/>
      <c r="D32" s="2"/>
    </row>
    <row r="33" spans="1:19" ht="17.399999999999999" x14ac:dyDescent="0.35">
      <c r="A33" s="6" t="s">
        <v>22</v>
      </c>
      <c r="D33" s="2">
        <v>39.200000000000003</v>
      </c>
    </row>
    <row r="34" spans="1:19" ht="17.399999999999999" x14ac:dyDescent="0.35">
      <c r="A34" s="6"/>
    </row>
    <row r="35" spans="1:19" ht="17.399999999999999" x14ac:dyDescent="0.35">
      <c r="A35" s="6" t="s">
        <v>14</v>
      </c>
      <c r="D35" s="2">
        <v>360</v>
      </c>
    </row>
    <row r="37" spans="1:19" ht="17.399999999999999" x14ac:dyDescent="0.35">
      <c r="A37" s="6" t="s">
        <v>6</v>
      </c>
      <c r="D37" s="2" t="s">
        <v>15</v>
      </c>
    </row>
    <row r="38" spans="1:19" ht="17.399999999999999" customHeight="1" x14ac:dyDescent="0.35">
      <c r="A38" s="6"/>
      <c r="D38" s="2"/>
    </row>
    <row r="39" spans="1:19" s="21" customFormat="1" ht="16.2" customHeight="1" x14ac:dyDescent="0.3">
      <c r="A39" s="20" t="s">
        <v>30</v>
      </c>
      <c r="D39" s="24"/>
    </row>
    <row r="40" spans="1:19" ht="17.399999999999999" x14ac:dyDescent="0.35">
      <c r="A40" s="6"/>
      <c r="D40" s="2"/>
    </row>
    <row r="41" spans="1:19" ht="17.399999999999999" x14ac:dyDescent="0.35">
      <c r="A41" s="6" t="s">
        <v>11</v>
      </c>
      <c r="D41" s="6" t="s">
        <v>12</v>
      </c>
      <c r="H41" s="6" t="s">
        <v>31</v>
      </c>
      <c r="K41" s="6" t="s">
        <v>49</v>
      </c>
      <c r="N41" s="2" t="s">
        <v>33</v>
      </c>
      <c r="S41" s="6" t="s">
        <v>32</v>
      </c>
    </row>
    <row r="42" spans="1:19" ht="17.399999999999999" x14ac:dyDescent="0.35">
      <c r="A42" s="6"/>
      <c r="D42" s="2"/>
      <c r="H42">
        <f>(D45+D47)/2</f>
        <v>18.25</v>
      </c>
      <c r="K42">
        <f>(D51+D53)/2</f>
        <v>21.2</v>
      </c>
      <c r="S42">
        <f>D55+(H42-K42)/O13</f>
        <v>327.04753961634697</v>
      </c>
    </row>
    <row r="43" spans="1:19" ht="17.399999999999999" x14ac:dyDescent="0.35">
      <c r="A43" s="6" t="s">
        <v>27</v>
      </c>
      <c r="D43" s="2" t="s">
        <v>73</v>
      </c>
    </row>
    <row r="44" spans="1:19" ht="17.399999999999999" x14ac:dyDescent="0.35">
      <c r="A44" s="6"/>
      <c r="D44" s="2"/>
      <c r="H44" s="2" t="s">
        <v>34</v>
      </c>
      <c r="L44" s="6" t="s">
        <v>35</v>
      </c>
      <c r="M44" s="2" t="s">
        <v>85</v>
      </c>
      <c r="N44" s="6"/>
      <c r="Q44" s="6" t="s">
        <v>42</v>
      </c>
    </row>
    <row r="45" spans="1:19" ht="17.399999999999999" x14ac:dyDescent="0.35">
      <c r="A45" s="6" t="s">
        <v>20</v>
      </c>
      <c r="D45" s="2">
        <v>19.5</v>
      </c>
      <c r="L45">
        <f>D3*EXP(K17*(2/12))-S42</f>
        <v>3.1576313594662793</v>
      </c>
      <c r="Q45" s="19">
        <f>-LN(1-L45/D3)/(2/12)</f>
        <v>5.7700215719330455E-2</v>
      </c>
    </row>
    <row r="46" spans="1:19" ht="17.399999999999999" x14ac:dyDescent="0.35">
      <c r="A46" s="6"/>
      <c r="D46" s="2"/>
    </row>
    <row r="47" spans="1:19" ht="17.399999999999999" x14ac:dyDescent="0.35">
      <c r="A47" s="6" t="s">
        <v>22</v>
      </c>
      <c r="D47" s="2">
        <v>17</v>
      </c>
    </row>
    <row r="48" spans="1:19" ht="17.399999999999999" x14ac:dyDescent="0.35">
      <c r="A48" s="6"/>
      <c r="D48" s="2"/>
    </row>
    <row r="49" spans="1:17" ht="17.399999999999999" x14ac:dyDescent="0.35">
      <c r="A49" s="6" t="s">
        <v>28</v>
      </c>
      <c r="D49" s="2" t="s">
        <v>74</v>
      </c>
    </row>
    <row r="50" spans="1:17" ht="17.399999999999999" x14ac:dyDescent="0.35">
      <c r="A50" s="6"/>
    </row>
    <row r="51" spans="1:17" ht="17.399999999999999" x14ac:dyDescent="0.35">
      <c r="A51" s="6" t="s">
        <v>20</v>
      </c>
      <c r="D51">
        <v>22.4</v>
      </c>
    </row>
    <row r="52" spans="1:17" ht="17.399999999999999" x14ac:dyDescent="0.35">
      <c r="A52" s="6"/>
    </row>
    <row r="53" spans="1:17" ht="17.399999999999999" x14ac:dyDescent="0.35">
      <c r="A53" s="6" t="s">
        <v>21</v>
      </c>
      <c r="D53">
        <v>20</v>
      </c>
    </row>
    <row r="54" spans="1:17" ht="17.399999999999999" x14ac:dyDescent="0.35">
      <c r="A54" s="6"/>
    </row>
    <row r="55" spans="1:17" ht="17.399999999999999" x14ac:dyDescent="0.35">
      <c r="A55" s="6" t="s">
        <v>7</v>
      </c>
      <c r="D55">
        <v>330</v>
      </c>
    </row>
    <row r="56" spans="1:17" ht="17.399999999999999" x14ac:dyDescent="0.35">
      <c r="A56" s="6"/>
    </row>
    <row r="57" spans="1:17" ht="17.399999999999999" x14ac:dyDescent="0.35">
      <c r="A57" s="6" t="s">
        <v>6</v>
      </c>
      <c r="D57" s="2" t="s">
        <v>15</v>
      </c>
    </row>
    <row r="58" spans="1:17" ht="17.399999999999999" x14ac:dyDescent="0.35">
      <c r="A58" s="6"/>
      <c r="D58" s="2"/>
    </row>
    <row r="59" spans="1:17" s="21" customFormat="1" x14ac:dyDescent="0.3">
      <c r="A59" s="20" t="s">
        <v>41</v>
      </c>
    </row>
    <row r="61" spans="1:17" ht="17.399999999999999" x14ac:dyDescent="0.35">
      <c r="A61" s="6" t="s">
        <v>11</v>
      </c>
      <c r="C61" s="4"/>
      <c r="D61" s="8" t="s">
        <v>0</v>
      </c>
      <c r="G61" s="6" t="s">
        <v>1</v>
      </c>
      <c r="N61" s="6" t="s">
        <v>2</v>
      </c>
      <c r="Q61" s="6" t="s">
        <v>84</v>
      </c>
    </row>
    <row r="62" spans="1:17" ht="17.399999999999999" x14ac:dyDescent="0.35">
      <c r="A62" s="6"/>
      <c r="C62" s="4"/>
      <c r="D62" s="8"/>
      <c r="G62" s="6"/>
      <c r="N62" s="6"/>
      <c r="Q62" s="6"/>
    </row>
    <row r="63" spans="1:17" ht="17.399999999999999" x14ac:dyDescent="0.35">
      <c r="A63" s="6" t="s">
        <v>37</v>
      </c>
      <c r="C63" s="4"/>
      <c r="D63" s="2">
        <v>0.99812500000000015</v>
      </c>
      <c r="G63" s="2">
        <v>0.98833333333333329</v>
      </c>
      <c r="N63" s="2">
        <v>0.98833333333333329</v>
      </c>
      <c r="Q63" s="14">
        <v>0.94499999999999962</v>
      </c>
    </row>
    <row r="64" spans="1:17" ht="17.399999999999999" x14ac:dyDescent="0.35">
      <c r="A64" s="6"/>
      <c r="C64" s="4"/>
      <c r="D64" s="8"/>
      <c r="G64" s="6"/>
      <c r="N64" s="6"/>
      <c r="Q64" s="6"/>
    </row>
    <row r="65" spans="1:17" ht="17.399999999999999" x14ac:dyDescent="0.35">
      <c r="A65" s="6" t="s">
        <v>50</v>
      </c>
      <c r="C65" s="4"/>
      <c r="D65" s="15">
        <f>-LN(D63)/(1/12)</f>
        <v>2.252112015432025E-2</v>
      </c>
      <c r="G65" s="2">
        <f>-LN(G63)/(3/12)</f>
        <v>4.6941024873683859E-2</v>
      </c>
      <c r="N65" s="2">
        <f>-LN(N63)/(6/12)</f>
        <v>2.347051243684193E-2</v>
      </c>
      <c r="Q65" s="2">
        <f>-LN(Q63)/(9/12)</f>
        <v>7.5427135317859606E-2</v>
      </c>
    </row>
    <row r="67" spans="1:17" ht="17.399999999999999" x14ac:dyDescent="0.35">
      <c r="A67" s="6" t="s">
        <v>3</v>
      </c>
      <c r="B67" s="6"/>
      <c r="C67" s="6"/>
      <c r="D67" s="2" t="s">
        <v>75</v>
      </c>
      <c r="G67" s="2" t="s">
        <v>77</v>
      </c>
      <c r="N67" s="2" t="s">
        <v>79</v>
      </c>
      <c r="Q67" s="2" t="s">
        <v>81</v>
      </c>
    </row>
    <row r="68" spans="1:17" ht="17.399999999999999" x14ac:dyDescent="0.35">
      <c r="A68" s="6"/>
      <c r="B68" s="6"/>
      <c r="C68" s="6"/>
      <c r="D68" s="2"/>
      <c r="G68" s="2"/>
      <c r="N68" s="2"/>
      <c r="Q68" s="2"/>
    </row>
    <row r="69" spans="1:17" ht="17.399999999999999" x14ac:dyDescent="0.35">
      <c r="A69" s="6" t="s">
        <v>43</v>
      </c>
      <c r="B69" s="6"/>
      <c r="C69" s="6"/>
      <c r="D69" s="2">
        <v>14.7</v>
      </c>
      <c r="G69" s="2">
        <v>23.4</v>
      </c>
      <c r="N69" s="2">
        <v>34.200000000000003</v>
      </c>
      <c r="Q69" s="2">
        <v>42.7</v>
      </c>
    </row>
    <row r="70" spans="1:17" ht="17.399999999999999" x14ac:dyDescent="0.35">
      <c r="A70" s="6"/>
      <c r="B70" s="6"/>
      <c r="C70" s="6"/>
      <c r="D70" s="2"/>
      <c r="G70" s="2"/>
      <c r="N70" s="2"/>
      <c r="Q70" s="2"/>
    </row>
    <row r="71" spans="1:17" ht="17.399999999999999" x14ac:dyDescent="0.35">
      <c r="A71" s="6" t="s">
        <v>44</v>
      </c>
      <c r="B71" s="6"/>
      <c r="C71" s="6"/>
      <c r="D71" s="2">
        <v>11.7</v>
      </c>
      <c r="G71" s="2">
        <v>21.9</v>
      </c>
      <c r="N71" s="2">
        <v>31.5</v>
      </c>
      <c r="Q71" s="2">
        <v>40.4</v>
      </c>
    </row>
    <row r="72" spans="1:17" ht="17.399999999999999" x14ac:dyDescent="0.35">
      <c r="A72" s="6"/>
      <c r="B72" s="6"/>
      <c r="C72" s="6"/>
      <c r="D72" s="2"/>
      <c r="G72" s="2"/>
      <c r="N72" s="2"/>
      <c r="Q72" s="2"/>
    </row>
    <row r="73" spans="1:17" ht="17.399999999999999" x14ac:dyDescent="0.35">
      <c r="A73" s="6" t="s">
        <v>47</v>
      </c>
      <c r="B73" s="6"/>
      <c r="C73" s="6"/>
      <c r="D73" s="2">
        <f>(D69+D71)/2</f>
        <v>13.2</v>
      </c>
      <c r="G73" s="2">
        <f>(G69+G71)/2</f>
        <v>22.65</v>
      </c>
      <c r="N73" s="2">
        <f>(N69+N71)/2</f>
        <v>32.85</v>
      </c>
      <c r="Q73" s="2">
        <f>(Q69+Q71)/2</f>
        <v>41.55</v>
      </c>
    </row>
    <row r="74" spans="1:17" ht="15.6" x14ac:dyDescent="0.3">
      <c r="D74" s="3"/>
    </row>
    <row r="75" spans="1:17" ht="17.399999999999999" x14ac:dyDescent="0.35">
      <c r="A75" s="6" t="s">
        <v>6</v>
      </c>
      <c r="D75" s="2" t="s">
        <v>5</v>
      </c>
      <c r="G75" s="7" t="s">
        <v>8</v>
      </c>
      <c r="N75" s="7" t="s">
        <v>10</v>
      </c>
      <c r="Q75" s="2" t="s">
        <v>83</v>
      </c>
    </row>
    <row r="76" spans="1:17" ht="17.399999999999999" x14ac:dyDescent="0.35">
      <c r="A76" s="6"/>
      <c r="D76" s="2"/>
      <c r="G76" s="7"/>
      <c r="N76" s="7"/>
      <c r="Q76" s="2"/>
    </row>
    <row r="77" spans="1:17" ht="17.399999999999999" x14ac:dyDescent="0.35">
      <c r="A77" s="6" t="s">
        <v>7</v>
      </c>
      <c r="D77" s="2">
        <v>330</v>
      </c>
      <c r="G77" s="2">
        <v>330</v>
      </c>
      <c r="N77" s="2">
        <v>330</v>
      </c>
      <c r="Q77" s="2">
        <v>330</v>
      </c>
    </row>
    <row r="78" spans="1:17" ht="17.399999999999999" x14ac:dyDescent="0.35">
      <c r="D78" s="6"/>
    </row>
    <row r="79" spans="1:17" ht="17.399999999999999" x14ac:dyDescent="0.35">
      <c r="A79" s="6" t="s">
        <v>4</v>
      </c>
      <c r="D79" s="2" t="s">
        <v>76</v>
      </c>
      <c r="G79" s="2" t="s">
        <v>78</v>
      </c>
      <c r="N79" s="2" t="s">
        <v>80</v>
      </c>
      <c r="Q79" s="2" t="s">
        <v>82</v>
      </c>
    </row>
    <row r="80" spans="1:17" ht="17.399999999999999" x14ac:dyDescent="0.35">
      <c r="A80" s="6"/>
      <c r="D80" s="2"/>
      <c r="G80" s="2"/>
      <c r="N80" s="2"/>
      <c r="Q80" s="2"/>
    </row>
    <row r="81" spans="1:17" ht="17.399999999999999" x14ac:dyDescent="0.35">
      <c r="A81" s="6" t="s">
        <v>45</v>
      </c>
      <c r="D81" s="2">
        <v>18</v>
      </c>
      <c r="G81" s="2">
        <v>25.1</v>
      </c>
      <c r="N81" s="2">
        <v>33</v>
      </c>
      <c r="Q81" s="2">
        <v>37.700000000000003</v>
      </c>
    </row>
    <row r="82" spans="1:17" ht="17.399999999999999" x14ac:dyDescent="0.35">
      <c r="A82" s="6"/>
      <c r="D82" s="2"/>
      <c r="G82" s="2"/>
      <c r="N82" s="2"/>
      <c r="Q82" s="2"/>
    </row>
    <row r="83" spans="1:17" ht="17.399999999999999" x14ac:dyDescent="0.35">
      <c r="A83" s="6" t="s">
        <v>46</v>
      </c>
      <c r="D83" s="2">
        <v>14.5</v>
      </c>
      <c r="G83" s="2">
        <v>23.7</v>
      </c>
      <c r="N83" s="2">
        <v>30.9</v>
      </c>
      <c r="Q83" s="2">
        <v>36.200000000000003</v>
      </c>
    </row>
    <row r="84" spans="1:17" ht="17.399999999999999" x14ac:dyDescent="0.35">
      <c r="A84" s="6"/>
      <c r="D84" s="2"/>
      <c r="G84" s="2"/>
      <c r="N84" s="2"/>
      <c r="Q84" s="2"/>
    </row>
    <row r="85" spans="1:17" ht="17.399999999999999" x14ac:dyDescent="0.35">
      <c r="A85" s="6" t="s">
        <v>48</v>
      </c>
      <c r="D85" s="2">
        <f>(D81+D83)/2</f>
        <v>16.25</v>
      </c>
      <c r="G85" s="2">
        <f>(G81+G83)/2</f>
        <v>24.4</v>
      </c>
      <c r="N85" s="2">
        <f>(N81+N83)/2</f>
        <v>31.95</v>
      </c>
      <c r="Q85" s="2">
        <f>(Q83+Q81)/2</f>
        <v>36.950000000000003</v>
      </c>
    </row>
    <row r="86" spans="1:17" ht="17.399999999999999" x14ac:dyDescent="0.35">
      <c r="A86" s="6"/>
      <c r="D86" s="2"/>
      <c r="G86" s="2"/>
      <c r="N86" s="2"/>
      <c r="Q86" s="2"/>
    </row>
    <row r="87" spans="1:17" ht="17.399999999999999" x14ac:dyDescent="0.35">
      <c r="A87" s="6" t="s">
        <v>6</v>
      </c>
      <c r="B87" s="6"/>
      <c r="C87" s="6"/>
      <c r="D87" s="2" t="s">
        <v>5</v>
      </c>
      <c r="G87" s="2" t="s">
        <v>9</v>
      </c>
      <c r="N87" s="2" t="s">
        <v>10</v>
      </c>
      <c r="Q87" s="2" t="s">
        <v>83</v>
      </c>
    </row>
    <row r="88" spans="1:17" ht="15.6" x14ac:dyDescent="0.3">
      <c r="D88" s="2"/>
    </row>
    <row r="89" spans="1:17" ht="17.399999999999999" x14ac:dyDescent="0.35">
      <c r="A89" s="6" t="s">
        <v>7</v>
      </c>
      <c r="D89" s="2">
        <v>330</v>
      </c>
      <c r="G89" s="2">
        <v>330</v>
      </c>
      <c r="N89" s="2">
        <v>330</v>
      </c>
      <c r="Q89" s="2">
        <v>330</v>
      </c>
    </row>
    <row r="90" spans="1:17" ht="15.6" x14ac:dyDescent="0.3">
      <c r="D90" s="2"/>
    </row>
    <row r="91" spans="1:17" ht="17.399999999999999" x14ac:dyDescent="0.35">
      <c r="A91" s="6" t="s">
        <v>32</v>
      </c>
      <c r="D91" s="2">
        <f>D55+(D73-D85)/O13</f>
        <v>326.94745621351126</v>
      </c>
      <c r="G91" s="2">
        <f>D55+(G73-G85)/O13</f>
        <v>328.24854045037529</v>
      </c>
      <c r="N91" s="2">
        <f>D55+(N73-N85)/O13</f>
        <v>330.90075062552125</v>
      </c>
      <c r="Q91" s="2">
        <f>D55+(Q73-Q85)/O13</f>
        <v>334.60383653044204</v>
      </c>
    </row>
    <row r="92" spans="1:17" ht="15.6" x14ac:dyDescent="0.3">
      <c r="D92" s="2"/>
    </row>
    <row r="93" spans="1:17" ht="17.399999999999999" x14ac:dyDescent="0.35">
      <c r="A93" s="6" t="s">
        <v>35</v>
      </c>
      <c r="D93" s="16">
        <f>D3/D63-D91</f>
        <v>3.6023246255619483</v>
      </c>
      <c r="G93">
        <f>D3/G63-G91</f>
        <v>5.5760801229805566</v>
      </c>
      <c r="N93" s="18">
        <f>D3/N63-N91</f>
        <v>2.9238699478345893</v>
      </c>
      <c r="Q93" s="16">
        <f>D3/Q63-Q91</f>
        <v>14.528438601833216</v>
      </c>
    </row>
    <row r="94" spans="1:17" ht="17.399999999999999" x14ac:dyDescent="0.35">
      <c r="A94" s="6"/>
      <c r="D94" s="11"/>
      <c r="N94" s="10"/>
      <c r="Q94" s="11"/>
    </row>
    <row r="95" spans="1:17" ht="17.399999999999999" x14ac:dyDescent="0.35">
      <c r="A95" s="6" t="s">
        <v>42</v>
      </c>
      <c r="D95" s="17">
        <f>-LN(1-D93/D3)/(1/12)</f>
        <v>0.13174194011477902</v>
      </c>
      <c r="G95" s="17">
        <f>-LN(1-G93/D3)/(3/12)</f>
        <v>6.8180983323038777E-2</v>
      </c>
      <c r="N95" s="17">
        <f>-LN(1-N93/D3)/(6/12)</f>
        <v>1.7803187378156098E-2</v>
      </c>
      <c r="Q95" s="17">
        <f>-LN(1-Q93/D3)/(9/12)</f>
        <v>6.004518093019804E-2</v>
      </c>
    </row>
    <row r="96" spans="1:17" ht="17.399999999999999" x14ac:dyDescent="0.35">
      <c r="A96" s="6"/>
      <c r="D96" s="12"/>
      <c r="G96" s="12"/>
      <c r="N96" s="12"/>
      <c r="Q96" s="12"/>
    </row>
    <row r="97" spans="1:17" ht="17.399999999999999" x14ac:dyDescent="0.35">
      <c r="A97" s="6"/>
      <c r="D97" s="12"/>
      <c r="G97" s="12"/>
      <c r="N97" s="12"/>
      <c r="Q97" s="12"/>
    </row>
  </sheetData>
  <phoneticPr fontId="5" type="noConversion"/>
  <pageMargins left="1" right="1" top="1" bottom="1" header="0.5" footer="0.5"/>
  <pageSetup paperSize="9" scale="58"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9139F-9DBE-4FED-A0BA-FBA409DFC949}">
  <dimension ref="A1:K22"/>
  <sheetViews>
    <sheetView tabSelected="1" workbookViewId="0">
      <selection activeCell="N13" sqref="N13"/>
    </sheetView>
  </sheetViews>
  <sheetFormatPr defaultRowHeight="14.4" x14ac:dyDescent="0.3"/>
  <sheetData>
    <row r="1" spans="1:11" x14ac:dyDescent="0.3">
      <c r="A1" t="s">
        <v>52</v>
      </c>
      <c r="D1" t="s">
        <v>58</v>
      </c>
      <c r="G1" t="s">
        <v>60</v>
      </c>
      <c r="J1" t="s">
        <v>62</v>
      </c>
    </row>
    <row r="2" spans="1:11" x14ac:dyDescent="0.3">
      <c r="A2" t="s">
        <v>51</v>
      </c>
      <c r="B2">
        <v>265</v>
      </c>
      <c r="D2" t="s">
        <v>51</v>
      </c>
      <c r="E2">
        <v>310</v>
      </c>
      <c r="G2" t="s">
        <v>51</v>
      </c>
      <c r="H2">
        <v>310</v>
      </c>
      <c r="J2" t="s">
        <v>51</v>
      </c>
      <c r="K2">
        <v>320</v>
      </c>
    </row>
    <row r="3" spans="1:11" x14ac:dyDescent="0.3">
      <c r="A3" t="s">
        <v>53</v>
      </c>
      <c r="B3">
        <v>68</v>
      </c>
      <c r="D3" t="s">
        <v>53</v>
      </c>
      <c r="E3">
        <v>45.2</v>
      </c>
      <c r="G3" t="s">
        <v>53</v>
      </c>
      <c r="H3">
        <v>45.2</v>
      </c>
      <c r="J3" t="s">
        <v>53</v>
      </c>
      <c r="K3">
        <v>48.4</v>
      </c>
    </row>
    <row r="4" spans="1:11" x14ac:dyDescent="0.3">
      <c r="A4" t="s">
        <v>54</v>
      </c>
      <c r="B4">
        <v>63.8</v>
      </c>
      <c r="D4" t="s">
        <v>54</v>
      </c>
      <c r="E4">
        <v>43.6</v>
      </c>
      <c r="G4" t="s">
        <v>54</v>
      </c>
      <c r="H4">
        <v>43.6</v>
      </c>
      <c r="J4" t="s">
        <v>54</v>
      </c>
      <c r="K4">
        <v>45.3</v>
      </c>
    </row>
    <row r="5" spans="1:11" x14ac:dyDescent="0.3">
      <c r="A5" t="s">
        <v>55</v>
      </c>
      <c r="B5">
        <f>(B3+B4)/2</f>
        <v>65.900000000000006</v>
      </c>
      <c r="D5" t="s">
        <v>55</v>
      </c>
      <c r="E5">
        <f>(E3+E4)/2</f>
        <v>44.400000000000006</v>
      </c>
      <c r="G5" t="s">
        <v>55</v>
      </c>
      <c r="H5">
        <f>(H3+H4)/2</f>
        <v>44.400000000000006</v>
      </c>
      <c r="J5" t="s">
        <v>55</v>
      </c>
      <c r="K5">
        <f>(K3+K4)/2</f>
        <v>46.849999999999994</v>
      </c>
    </row>
    <row r="6" spans="1:11" x14ac:dyDescent="0.3">
      <c r="A6" t="s">
        <v>56</v>
      </c>
      <c r="D6" t="s">
        <v>87</v>
      </c>
      <c r="G6" t="s">
        <v>61</v>
      </c>
      <c r="J6" t="s">
        <v>63</v>
      </c>
    </row>
    <row r="7" spans="1:11" x14ac:dyDescent="0.3">
      <c r="A7" t="s">
        <v>51</v>
      </c>
      <c r="B7">
        <v>265</v>
      </c>
      <c r="D7" t="s">
        <v>51</v>
      </c>
      <c r="E7">
        <v>310</v>
      </c>
      <c r="G7" t="s">
        <v>51</v>
      </c>
      <c r="H7">
        <v>310</v>
      </c>
      <c r="J7" t="s">
        <v>51</v>
      </c>
      <c r="K7">
        <v>320</v>
      </c>
    </row>
    <row r="8" spans="1:11" x14ac:dyDescent="0.3">
      <c r="A8" t="s">
        <v>53</v>
      </c>
      <c r="B8">
        <v>4.8</v>
      </c>
      <c r="D8" t="s">
        <v>53</v>
      </c>
      <c r="E8">
        <v>23.8</v>
      </c>
      <c r="G8" t="s">
        <v>53</v>
      </c>
      <c r="H8">
        <v>23.8</v>
      </c>
      <c r="J8" t="s">
        <v>53</v>
      </c>
      <c r="K8">
        <v>34.1</v>
      </c>
    </row>
    <row r="9" spans="1:11" x14ac:dyDescent="0.3">
      <c r="A9" t="s">
        <v>54</v>
      </c>
      <c r="B9">
        <v>0</v>
      </c>
      <c r="D9" t="s">
        <v>54</v>
      </c>
      <c r="E9">
        <v>21.7</v>
      </c>
      <c r="G9" t="s">
        <v>54</v>
      </c>
      <c r="H9">
        <v>21.7</v>
      </c>
      <c r="J9" t="s">
        <v>54</v>
      </c>
      <c r="K9">
        <v>31.7</v>
      </c>
    </row>
    <row r="10" spans="1:11" x14ac:dyDescent="0.3">
      <c r="A10" t="s">
        <v>55</v>
      </c>
      <c r="B10">
        <f>(B8+B9)/2</f>
        <v>2.4</v>
      </c>
      <c r="D10" t="s">
        <v>55</v>
      </c>
      <c r="E10">
        <f>(E8+E9)/2</f>
        <v>22.75</v>
      </c>
      <c r="G10" t="s">
        <v>55</v>
      </c>
      <c r="H10">
        <f>(H8+H9)/2</f>
        <v>22.75</v>
      </c>
      <c r="J10" t="s">
        <v>55</v>
      </c>
      <c r="K10">
        <f>(K8+K9)/2</f>
        <v>32.9</v>
      </c>
    </row>
    <row r="11" spans="1:11" x14ac:dyDescent="0.3">
      <c r="A11" t="s">
        <v>52</v>
      </c>
      <c r="D11" t="s">
        <v>58</v>
      </c>
      <c r="G11" t="s">
        <v>60</v>
      </c>
      <c r="J11" t="s">
        <v>62</v>
      </c>
    </row>
    <row r="12" spans="1:11" x14ac:dyDescent="0.3">
      <c r="A12" t="s">
        <v>51</v>
      </c>
      <c r="B12">
        <v>385</v>
      </c>
      <c r="D12" t="s">
        <v>51</v>
      </c>
      <c r="E12">
        <v>340</v>
      </c>
      <c r="G12" t="s">
        <v>51</v>
      </c>
      <c r="H12">
        <v>340</v>
      </c>
      <c r="J12" t="s">
        <v>51</v>
      </c>
      <c r="K12">
        <v>340</v>
      </c>
    </row>
    <row r="13" spans="1:11" x14ac:dyDescent="0.3">
      <c r="A13" t="s">
        <v>53</v>
      </c>
      <c r="B13">
        <v>4.8</v>
      </c>
      <c r="D13" t="s">
        <v>53</v>
      </c>
      <c r="E13">
        <v>30.3</v>
      </c>
      <c r="G13" t="s">
        <v>53</v>
      </c>
      <c r="H13">
        <v>30.3</v>
      </c>
      <c r="J13" t="s">
        <v>53</v>
      </c>
      <c r="K13">
        <v>39</v>
      </c>
    </row>
    <row r="14" spans="1:11" x14ac:dyDescent="0.3">
      <c r="A14" t="s">
        <v>54</v>
      </c>
      <c r="B14">
        <v>0.05</v>
      </c>
      <c r="D14" t="s">
        <v>54</v>
      </c>
      <c r="E14">
        <v>28.4</v>
      </c>
      <c r="G14" t="s">
        <v>54</v>
      </c>
      <c r="H14">
        <v>28.4</v>
      </c>
      <c r="J14" t="s">
        <v>54</v>
      </c>
      <c r="K14">
        <v>37.200000000000003</v>
      </c>
    </row>
    <row r="15" spans="1:11" x14ac:dyDescent="0.3">
      <c r="A15" t="s">
        <v>55</v>
      </c>
      <c r="B15">
        <f>(B13+B14)/2</f>
        <v>2.4249999999999998</v>
      </c>
      <c r="D15" t="s">
        <v>55</v>
      </c>
      <c r="E15">
        <f>(E13+E14)/2</f>
        <v>29.35</v>
      </c>
      <c r="G15" t="s">
        <v>55</v>
      </c>
      <c r="H15">
        <f>(H13+H14)/2</f>
        <v>29.35</v>
      </c>
      <c r="J15" t="s">
        <v>55</v>
      </c>
      <c r="K15">
        <f>(K13+K14)/2</f>
        <v>38.1</v>
      </c>
    </row>
    <row r="16" spans="1:11" x14ac:dyDescent="0.3">
      <c r="A16" t="s">
        <v>56</v>
      </c>
      <c r="D16" t="s">
        <v>59</v>
      </c>
      <c r="G16" t="s">
        <v>61</v>
      </c>
      <c r="J16" t="s">
        <v>63</v>
      </c>
    </row>
    <row r="17" spans="1:11" x14ac:dyDescent="0.3">
      <c r="A17" t="s">
        <v>57</v>
      </c>
      <c r="B17">
        <v>385</v>
      </c>
      <c r="D17" t="s">
        <v>51</v>
      </c>
      <c r="E17">
        <v>340</v>
      </c>
      <c r="G17" t="s">
        <v>51</v>
      </c>
      <c r="H17">
        <v>340</v>
      </c>
      <c r="J17" t="s">
        <v>51</v>
      </c>
      <c r="K17">
        <v>340</v>
      </c>
    </row>
    <row r="18" spans="1:11" x14ac:dyDescent="0.3">
      <c r="A18" t="s">
        <v>53</v>
      </c>
      <c r="B18">
        <v>60.1</v>
      </c>
      <c r="D18" t="s">
        <v>53</v>
      </c>
      <c r="E18">
        <v>38.4</v>
      </c>
      <c r="G18" t="s">
        <v>53</v>
      </c>
      <c r="H18">
        <v>38.4</v>
      </c>
      <c r="J18" t="s">
        <v>53</v>
      </c>
      <c r="K18">
        <v>44.4</v>
      </c>
    </row>
    <row r="19" spans="1:11" x14ac:dyDescent="0.3">
      <c r="A19" t="s">
        <v>54</v>
      </c>
      <c r="B19">
        <v>57.3</v>
      </c>
      <c r="D19" t="s">
        <v>54</v>
      </c>
      <c r="E19">
        <v>36.299999999999997</v>
      </c>
      <c r="G19" t="s">
        <v>54</v>
      </c>
      <c r="H19">
        <v>36.299999999999997</v>
      </c>
      <c r="J19" t="s">
        <v>54</v>
      </c>
      <c r="K19">
        <v>41.7</v>
      </c>
    </row>
    <row r="20" spans="1:11" x14ac:dyDescent="0.3">
      <c r="A20" t="s">
        <v>55</v>
      </c>
      <c r="B20">
        <f>(B18+B19)/2</f>
        <v>58.7</v>
      </c>
      <c r="D20" t="s">
        <v>55</v>
      </c>
      <c r="E20">
        <f>(E18+E19)/2</f>
        <v>37.349999999999994</v>
      </c>
      <c r="G20" t="s">
        <v>55</v>
      </c>
      <c r="H20">
        <f>(H18+H19)/2</f>
        <v>37.349999999999994</v>
      </c>
      <c r="J20" t="s">
        <v>55</v>
      </c>
      <c r="K20">
        <f>(K18+K19)/2</f>
        <v>43.05</v>
      </c>
    </row>
    <row r="22" spans="1:11" x14ac:dyDescent="0.3">
      <c r="A22" t="s">
        <v>64</v>
      </c>
      <c r="B22">
        <f>(B5-B10+B20-B15)/(B17-B7)</f>
        <v>0.99812500000000015</v>
      </c>
      <c r="D22" t="s">
        <v>65</v>
      </c>
      <c r="E22">
        <f>(E5-E10+E20-E15)/(E17-E7)</f>
        <v>0.98833333333333329</v>
      </c>
      <c r="G22" t="s">
        <v>66</v>
      </c>
      <c r="H22">
        <f>(H5-H10+H20-H15)/(H17-H7)</f>
        <v>0.98833333333333329</v>
      </c>
      <c r="J22" t="s">
        <v>67</v>
      </c>
      <c r="K22" s="13">
        <f>(K5-K10+K20-K15)/(K17-K2)</f>
        <v>0.94499999999999962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8E5BE28-65DE-4AE8-8830-AB314AF1AD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Foglio1</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Basciu</dc:creator>
  <cp:lastModifiedBy>Gabriele Basciu</cp:lastModifiedBy>
  <cp:lastPrinted>2026-03-24T13:19:48Z</cp:lastPrinted>
  <dcterms:created xsi:type="dcterms:W3CDTF">2026-03-20T15:32:25Z</dcterms:created>
  <dcterms:modified xsi:type="dcterms:W3CDTF">2026-10-26T23:59:13Z</dcterms:modified>
</cp:coreProperties>
</file>